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760"/>
  </bookViews>
  <sheets>
    <sheet name="Kalibracja Drukarki 3D" sheetId="2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1" i="2" l="1"/>
  <c r="F30" i="2"/>
  <c r="F19" i="2" l="1"/>
  <c r="F21" i="2" s="1"/>
  <c r="F8" i="2" l="1"/>
  <c r="F10" i="2" s="1"/>
</calcChain>
</file>

<file path=xl/sharedStrings.xml><?xml version="1.0" encoding="utf-8"?>
<sst xmlns="http://schemas.openxmlformats.org/spreadsheetml/2006/main" count="107" uniqueCount="79">
  <si>
    <t>Dysproporcja</t>
  </si>
  <si>
    <t>Kalibracja ekstrudera</t>
  </si>
  <si>
    <t>Link do Poradnika:</t>
  </si>
  <si>
    <t>Dane:</t>
  </si>
  <si>
    <t>Dystans zadany</t>
  </si>
  <si>
    <t>Dystans zmierzony</t>
  </si>
  <si>
    <t>Aktualna rozdzielczość [step/mm]</t>
  </si>
  <si>
    <t>Nowa rozdzielczość [step/mm]</t>
  </si>
  <si>
    <t>[mm]</t>
  </si>
  <si>
    <t>Arkusz stworzony przez Artura Petrzaka w 2019 roku.</t>
  </si>
  <si>
    <t>Więcej o Drukarkach 3D na moim kanale Youtube:</t>
  </si>
  <si>
    <t>Zapraszam również na mój Fanpage:</t>
  </si>
  <si>
    <t>http://bit.ly/ArtekDiy</t>
  </si>
  <si>
    <t>http://bit.ly/MajstryArtka</t>
  </si>
  <si>
    <t>Dołącz do grupy Majstry Artka!</t>
  </si>
  <si>
    <t>http://bit.ly/SubskrybujArtka</t>
  </si>
  <si>
    <t>http://bit.ly/RankingDrukarek</t>
  </si>
  <si>
    <t>Krok</t>
  </si>
  <si>
    <t>Nazwa czynności</t>
  </si>
  <si>
    <t>Link do poradnika</t>
  </si>
  <si>
    <t>1.</t>
  </si>
  <si>
    <t>2.</t>
  </si>
  <si>
    <t>3.</t>
  </si>
  <si>
    <t>4.</t>
  </si>
  <si>
    <t>5.</t>
  </si>
  <si>
    <t>6.</t>
  </si>
  <si>
    <t>7.</t>
  </si>
  <si>
    <t>http://bit.ly/Ekstruder</t>
  </si>
  <si>
    <t>PID Tuning</t>
  </si>
  <si>
    <t>http://bit.ly/PID_Tuning</t>
  </si>
  <si>
    <t>Kalibracja Flowrate</t>
  </si>
  <si>
    <t>Dobór temperatury druku</t>
  </si>
  <si>
    <t>Kalibracja Retrakcji</t>
  </si>
  <si>
    <t>Sugerowana kolejność kalibracji Drukarki 3D</t>
  </si>
  <si>
    <t>Szerokość ścianki</t>
  </si>
  <si>
    <t>Zmierzona szerokość ścianki</t>
  </si>
  <si>
    <t>Nowy Flowrate [%]</t>
  </si>
  <si>
    <t>Pierwsza Warstwa - Z Offset</t>
  </si>
  <si>
    <t>Coming soon</t>
  </si>
  <si>
    <t>Link do Modelu:</t>
  </si>
  <si>
    <t>http://bit.ly/2V2uXEF</t>
  </si>
  <si>
    <t>Aktualny Flowrate [%]</t>
  </si>
  <si>
    <t>http://bit.ly/Flow-Rate</t>
  </si>
  <si>
    <t>http://bit.ly/WesprzyjArtka</t>
  </si>
  <si>
    <t>Moje poradniki Ci pomogły? Zrewanżuj się wspierając mnie tutaj:</t>
  </si>
  <si>
    <t>http://bit.ly/Filamenty</t>
  </si>
  <si>
    <t>Szukasz filamentu wysokiej jakości? Zajrzyj Tutaj:</t>
  </si>
  <si>
    <t>http://bit.ly/Temp-Druku</t>
  </si>
  <si>
    <t>http://bit.ly/IdeaMaker-Poradnik</t>
  </si>
  <si>
    <t>http://bit.ly/Cura-Poradnik</t>
  </si>
  <si>
    <t>Poradniki na temat Druku 3D</t>
  </si>
  <si>
    <t>Nr.</t>
  </si>
  <si>
    <t>Temat</t>
  </si>
  <si>
    <t>Cura - Podstawy i wskazówki</t>
  </si>
  <si>
    <t>IdeaMaker - Podstawy i Wskazówki</t>
  </si>
  <si>
    <t>Druk wielokolorowy</t>
  </si>
  <si>
    <t>http://bit.ly/Retrakcja</t>
  </si>
  <si>
    <t>Średnica dyszy - A:</t>
  </si>
  <si>
    <t>Płaska część dyszy - B:</t>
  </si>
  <si>
    <t>Wysokość warstwy:</t>
  </si>
  <si>
    <t>Minimalna szerokość ścieżki:</t>
  </si>
  <si>
    <t>Maksymalna szerokość ścieżki:</t>
  </si>
  <si>
    <t>http://bit.ly/Pierwsza-Warstwa</t>
  </si>
  <si>
    <t>Zalaceana Szerokość ścieżki</t>
  </si>
  <si>
    <t>http://bit.ly/Litofany</t>
  </si>
  <si>
    <t>Drukowanie zdjęć - Litofany</t>
  </si>
  <si>
    <t>Przyspieszanie wydruków</t>
  </si>
  <si>
    <t>Fotogrametria - Skanowanie 3D</t>
  </si>
  <si>
    <t>Idealnie gładkie wydruki - Wygładzanie ABS'u</t>
  </si>
  <si>
    <t>http://bit.ly/Druk-Kolorowy</t>
  </si>
  <si>
    <t>8.</t>
  </si>
  <si>
    <t>9.</t>
  </si>
  <si>
    <t>10.</t>
  </si>
  <si>
    <t>11.</t>
  </si>
  <si>
    <t>12.</t>
  </si>
  <si>
    <t>13.</t>
  </si>
  <si>
    <t>14.</t>
  </si>
  <si>
    <t>Ranking Drukarek 3D, Drony, Odpowiedzi na pytania odnośnie zamawiania z Chin:</t>
  </si>
  <si>
    <t>Dokładne dobranie flowrate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</si>
</sst>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u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7" fillId="0" borderId="0" xfId="4" applyFont="1"/>
    <xf numFmtId="0" fontId="8" fillId="0" borderId="24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2" fontId="0" fillId="0" borderId="25" xfId="0" applyNumberFormat="1" applyBorder="1" applyAlignment="1" applyProtection="1">
      <alignment horizontal="right"/>
      <protection locked="0"/>
    </xf>
    <xf numFmtId="2" fontId="0" fillId="0" borderId="26" xfId="0" applyNumberFormat="1" applyBorder="1" applyAlignment="1" applyProtection="1">
      <alignment horizontal="right"/>
      <protection locked="0"/>
    </xf>
    <xf numFmtId="0" fontId="0" fillId="0" borderId="27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8" xfId="0" applyBorder="1" applyAlignment="1">
      <alignment horizontal="left"/>
    </xf>
    <xf numFmtId="2" fontId="2" fillId="3" borderId="30" xfId="2" applyNumberFormat="1" applyBorder="1" applyAlignment="1">
      <alignment horizontal="right"/>
    </xf>
    <xf numFmtId="2" fontId="2" fillId="3" borderId="31" xfId="2" applyNumberFormat="1" applyBorder="1" applyAlignment="1">
      <alignment horizontal="right"/>
    </xf>
    <xf numFmtId="2" fontId="1" fillId="2" borderId="25" xfId="1" applyNumberFormat="1" applyBorder="1" applyAlignment="1">
      <alignment horizontal="right"/>
    </xf>
    <xf numFmtId="2" fontId="1" fillId="2" borderId="26" xfId="1" applyNumberFormat="1" applyBorder="1" applyAlignment="1">
      <alignment horizontal="right"/>
    </xf>
    <xf numFmtId="0" fontId="0" fillId="0" borderId="32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8" fillId="0" borderId="29" xfId="4" applyFont="1" applyBorder="1" applyAlignment="1">
      <alignment horizontal="left" vertical="center"/>
    </xf>
    <xf numFmtId="0" fontId="11" fillId="0" borderId="31" xfId="4" applyFont="1" applyBorder="1" applyAlignment="1">
      <alignment horizontal="left" vertical="center"/>
    </xf>
    <xf numFmtId="2" fontId="1" fillId="2" borderId="29" xfId="1" applyNumberFormat="1" applyBorder="1"/>
    <xf numFmtId="2" fontId="1" fillId="2" borderId="30" xfId="1" applyNumberFormat="1" applyBorder="1"/>
    <xf numFmtId="2" fontId="1" fillId="2" borderId="31" xfId="1" applyNumberFormat="1" applyBorder="1"/>
    <xf numFmtId="0" fontId="5" fillId="5" borderId="18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37" xfId="4" applyFont="1" applyBorder="1" applyAlignment="1">
      <alignment horizontal="center"/>
    </xf>
    <xf numFmtId="0" fontId="7" fillId="0" borderId="38" xfId="4" applyFont="1" applyBorder="1" applyAlignment="1">
      <alignment horizontal="center"/>
    </xf>
    <xf numFmtId="0" fontId="7" fillId="0" borderId="39" xfId="4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5" xfId="0" applyBorder="1" applyAlignment="1">
      <alignment horizontal="center"/>
    </xf>
    <xf numFmtId="2" fontId="0" fillId="0" borderId="24" xfId="0" applyNumberFormat="1" applyBorder="1" applyProtection="1">
      <protection locked="0"/>
    </xf>
    <xf numFmtId="2" fontId="0" fillId="0" borderId="25" xfId="0" applyNumberFormat="1" applyBorder="1" applyProtection="1">
      <protection locked="0"/>
    </xf>
    <xf numFmtId="2" fontId="0" fillId="0" borderId="26" xfId="0" applyNumberFormat="1" applyBorder="1" applyProtection="1">
      <protection locked="0"/>
    </xf>
    <xf numFmtId="0" fontId="7" fillId="0" borderId="24" xfId="4" applyFont="1" applyBorder="1" applyAlignment="1">
      <alignment horizontal="left" vertical="center"/>
    </xf>
    <xf numFmtId="0" fontId="7" fillId="0" borderId="26" xfId="4" applyFont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2" fontId="2" fillId="3" borderId="24" xfId="2" applyNumberFormat="1" applyBorder="1"/>
    <xf numFmtId="2" fontId="2" fillId="3" borderId="25" xfId="2" applyNumberFormat="1" applyBorder="1"/>
    <xf numFmtId="2" fontId="2" fillId="3" borderId="26" xfId="2" applyNumberFormat="1" applyBorder="1"/>
    <xf numFmtId="0" fontId="10" fillId="5" borderId="11" xfId="4" applyFont="1" applyFill="1" applyBorder="1" applyAlignment="1">
      <alignment horizontal="left"/>
    </xf>
    <xf numFmtId="0" fontId="9" fillId="5" borderId="11" xfId="0" applyFont="1" applyFill="1" applyBorder="1" applyAlignment="1">
      <alignment horizontal="left"/>
    </xf>
    <xf numFmtId="0" fontId="9" fillId="5" borderId="12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10" fillId="7" borderId="14" xfId="4" applyFont="1" applyFill="1" applyBorder="1" applyAlignment="1">
      <alignment horizontal="left"/>
    </xf>
    <xf numFmtId="0" fontId="9" fillId="7" borderId="14" xfId="0" applyFont="1" applyFill="1" applyBorder="1" applyAlignment="1">
      <alignment horizontal="left"/>
    </xf>
    <xf numFmtId="0" fontId="9" fillId="7" borderId="15" xfId="0" applyFont="1" applyFill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1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2" fontId="2" fillId="3" borderId="11" xfId="2" applyNumberFormat="1" applyBorder="1"/>
    <xf numFmtId="2" fontId="2" fillId="3" borderId="12" xfId="2" applyNumberFormat="1" applyBorder="1"/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7" fillId="0" borderId="29" xfId="4" applyFont="1" applyBorder="1" applyAlignment="1">
      <alignment horizontal="center"/>
    </xf>
    <xf numFmtId="0" fontId="7" fillId="0" borderId="30" xfId="4" applyFont="1" applyBorder="1" applyAlignment="1">
      <alignment horizontal="center"/>
    </xf>
    <xf numFmtId="0" fontId="7" fillId="0" borderId="31" xfId="4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7" fillId="6" borderId="11" xfId="4" applyFont="1" applyFill="1" applyBorder="1" applyAlignment="1">
      <alignment horizontal="left"/>
    </xf>
    <xf numFmtId="0" fontId="8" fillId="6" borderId="11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/>
    </xf>
    <xf numFmtId="0" fontId="7" fillId="6" borderId="8" xfId="4" applyFont="1" applyFill="1" applyBorder="1" applyAlignment="1">
      <alignment horizontal="left"/>
    </xf>
    <xf numFmtId="0" fontId="7" fillId="6" borderId="9" xfId="4" applyFont="1" applyFill="1" applyBorder="1" applyAlignment="1">
      <alignment horizontal="left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7" fillId="6" borderId="12" xfId="4" applyFont="1" applyFill="1" applyBorder="1" applyAlignment="1">
      <alignment horizontal="left"/>
    </xf>
    <xf numFmtId="0" fontId="7" fillId="0" borderId="47" xfId="4" applyFont="1" applyBorder="1" applyAlignment="1">
      <alignment horizontal="center"/>
    </xf>
    <xf numFmtId="0" fontId="7" fillId="0" borderId="48" xfId="4" applyFont="1" applyBorder="1" applyAlignment="1">
      <alignment horizontal="center"/>
    </xf>
    <xf numFmtId="0" fontId="7" fillId="0" borderId="46" xfId="4" applyFont="1" applyBorder="1" applyAlignment="1">
      <alignment horizontal="center"/>
    </xf>
    <xf numFmtId="0" fontId="0" fillId="0" borderId="49" xfId="0" applyBorder="1" applyAlignment="1">
      <alignment horizontal="left"/>
    </xf>
    <xf numFmtId="0" fontId="0" fillId="0" borderId="50" xfId="0" applyBorder="1" applyAlignment="1">
      <alignment horizontal="left"/>
    </xf>
    <xf numFmtId="0" fontId="5" fillId="5" borderId="41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2" fontId="3" fillId="4" borderId="24" xfId="3" applyNumberFormat="1" applyBorder="1" applyProtection="1">
      <protection locked="0"/>
    </xf>
    <xf numFmtId="2" fontId="3" fillId="4" borderId="25" xfId="3" applyNumberFormat="1" applyBorder="1" applyProtection="1">
      <protection locked="0"/>
    </xf>
    <xf numFmtId="2" fontId="3" fillId="4" borderId="26" xfId="3" applyNumberFormat="1" applyBorder="1" applyProtection="1">
      <protection locked="0"/>
    </xf>
    <xf numFmtId="2" fontId="3" fillId="4" borderId="11" xfId="3" applyNumberFormat="1" applyBorder="1" applyProtection="1">
      <protection locked="0"/>
    </xf>
    <xf numFmtId="2" fontId="3" fillId="4" borderId="12" xfId="3" applyNumberFormat="1" applyBorder="1" applyProtection="1">
      <protection locked="0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2" fontId="1" fillId="2" borderId="14" xfId="1" applyNumberFormat="1" applyBorder="1"/>
    <xf numFmtId="2" fontId="1" fillId="2" borderId="15" xfId="1" applyNumberFormat="1" applyBorder="1"/>
  </cellXfs>
  <cellStyles count="5">
    <cellStyle name="Dobre" xfId="1" builtinId="26"/>
    <cellStyle name="Hiperłącze" xfId="4" builtinId="8"/>
    <cellStyle name="Neutralne" xfId="3" builtinId="28"/>
    <cellStyle name="Normalny" xfId="0" builtinId="0"/>
    <cellStyle name="Złe" xfId="2" builtinId="27"/>
  </cellStyles>
  <dxfs count="0"/>
  <tableStyles count="0" defaultTableStyle="TableStyleMedium2" defaultPivotStyle="PivotStyleLight16"/>
  <colors>
    <mruColors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33133</xdr:colOff>
      <xdr:row>31</xdr:row>
      <xdr:rowOff>115956</xdr:rowOff>
    </xdr:from>
    <xdr:to>
      <xdr:col>4</xdr:col>
      <xdr:colOff>596349</xdr:colOff>
      <xdr:row>42</xdr:row>
      <xdr:rowOff>104539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xmlns="" id="{8BC9A61B-C857-41E9-9A5F-2E6121E1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46" y="6435586"/>
          <a:ext cx="2401955" cy="210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it.ly/2V2uXEF" TargetMode="External"/><Relationship Id="rId13" Type="http://schemas.openxmlformats.org/officeDocument/2006/relationships/hyperlink" Target="http://bit.ly/Temp-Druku" TargetMode="External"/><Relationship Id="rId18" Type="http://schemas.openxmlformats.org/officeDocument/2006/relationships/hyperlink" Target="http://bit.ly/Litofany" TargetMode="External"/><Relationship Id="rId3" Type="http://schemas.openxmlformats.org/officeDocument/2006/relationships/hyperlink" Target="http://bit.ly/SubskrybujArtka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://bit.ly/PID_Tuning" TargetMode="External"/><Relationship Id="rId12" Type="http://schemas.openxmlformats.org/officeDocument/2006/relationships/hyperlink" Target="http://bit.ly/Filamenty" TargetMode="External"/><Relationship Id="rId17" Type="http://schemas.openxmlformats.org/officeDocument/2006/relationships/hyperlink" Target="http://bit.ly/Pierwsza-Warstwa" TargetMode="External"/><Relationship Id="rId2" Type="http://schemas.openxmlformats.org/officeDocument/2006/relationships/hyperlink" Target="http://bit.ly/MajstryArtka" TargetMode="External"/><Relationship Id="rId16" Type="http://schemas.openxmlformats.org/officeDocument/2006/relationships/hyperlink" Target="http://bit.ly/Retrakcja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bit.ly/RankingDrukarek" TargetMode="External"/><Relationship Id="rId6" Type="http://schemas.openxmlformats.org/officeDocument/2006/relationships/hyperlink" Target="http://bit.ly/Ekstruder" TargetMode="External"/><Relationship Id="rId11" Type="http://schemas.openxmlformats.org/officeDocument/2006/relationships/hyperlink" Target="http://bit.ly/WesprzyjArtka" TargetMode="External"/><Relationship Id="rId5" Type="http://schemas.openxmlformats.org/officeDocument/2006/relationships/hyperlink" Target="http://bit.ly/Ekstruder" TargetMode="External"/><Relationship Id="rId15" Type="http://schemas.openxmlformats.org/officeDocument/2006/relationships/hyperlink" Target="http://bit.ly/IdeaMaker-Poradnik" TargetMode="External"/><Relationship Id="rId10" Type="http://schemas.openxmlformats.org/officeDocument/2006/relationships/hyperlink" Target="http://bit.ly/Flow-Rate" TargetMode="External"/><Relationship Id="rId19" Type="http://schemas.openxmlformats.org/officeDocument/2006/relationships/hyperlink" Target="http://bit.ly/Druk-Kolorowy" TargetMode="External"/><Relationship Id="rId4" Type="http://schemas.openxmlformats.org/officeDocument/2006/relationships/hyperlink" Target="http://bit.ly/ArtekDiy" TargetMode="External"/><Relationship Id="rId9" Type="http://schemas.openxmlformats.org/officeDocument/2006/relationships/hyperlink" Target="http://bit.ly/Flow-Rate" TargetMode="External"/><Relationship Id="rId14" Type="http://schemas.openxmlformats.org/officeDocument/2006/relationships/hyperlink" Target="http://bit.ly/Cura-Poradn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4"/>
  <sheetViews>
    <sheetView tabSelected="1" zoomScale="115" zoomScaleNormal="115" workbookViewId="0">
      <selection activeCell="I10" sqref="I10"/>
    </sheetView>
  </sheetViews>
  <sheetFormatPr defaultRowHeight="15" x14ac:dyDescent="0.25"/>
  <cols>
    <col min="3" max="3" width="9.140625" customWidth="1"/>
    <col min="6" max="6" width="7.140625" customWidth="1"/>
    <col min="7" max="7" width="5.85546875" customWidth="1"/>
    <col min="8" max="8" width="8.42578125" customWidth="1"/>
    <col min="12" max="13" width="14.42578125" customWidth="1"/>
    <col min="14" max="14" width="13.7109375" customWidth="1"/>
    <col min="15" max="15" width="11.7109375" customWidth="1"/>
    <col min="16" max="16" width="18.42578125" customWidth="1"/>
    <col min="19" max="19" width="8.85546875" customWidth="1"/>
  </cols>
  <sheetData>
    <row r="1" spans="2:19" ht="15.75" thickBot="1" x14ac:dyDescent="0.3"/>
    <row r="2" spans="2:19" ht="15" customHeight="1" thickTop="1" x14ac:dyDescent="0.25">
      <c r="B2" s="47" t="s">
        <v>1</v>
      </c>
      <c r="C2" s="48"/>
      <c r="D2" s="48"/>
      <c r="E2" s="48"/>
      <c r="F2" s="48"/>
      <c r="G2" s="48"/>
      <c r="H2" s="49"/>
      <c r="K2" s="98" t="s">
        <v>77</v>
      </c>
      <c r="L2" s="99"/>
      <c r="M2" s="99"/>
      <c r="N2" s="99"/>
      <c r="O2" s="99"/>
      <c r="P2" s="99"/>
      <c r="Q2" s="96" t="s">
        <v>16</v>
      </c>
      <c r="R2" s="96"/>
      <c r="S2" s="97"/>
    </row>
    <row r="3" spans="2:19" ht="15" customHeight="1" thickBot="1" x14ac:dyDescent="0.3">
      <c r="B3" s="50"/>
      <c r="C3" s="51"/>
      <c r="D3" s="51"/>
      <c r="E3" s="51"/>
      <c r="F3" s="51"/>
      <c r="G3" s="51"/>
      <c r="H3" s="52"/>
      <c r="K3" s="100" t="s">
        <v>10</v>
      </c>
      <c r="L3" s="101"/>
      <c r="M3" s="101"/>
      <c r="N3" s="101"/>
      <c r="O3" s="101"/>
      <c r="P3" s="101"/>
      <c r="Q3" s="93" t="s">
        <v>15</v>
      </c>
      <c r="R3" s="93"/>
      <c r="S3" s="102"/>
    </row>
    <row r="4" spans="2:19" ht="16.5" thickTop="1" thickBot="1" x14ac:dyDescent="0.3">
      <c r="B4" s="106" t="s">
        <v>2</v>
      </c>
      <c r="C4" s="107"/>
      <c r="D4" s="107"/>
      <c r="E4" s="107"/>
      <c r="F4" s="103" t="s">
        <v>27</v>
      </c>
      <c r="G4" s="104"/>
      <c r="H4" s="105"/>
      <c r="K4" s="100" t="s">
        <v>14</v>
      </c>
      <c r="L4" s="101"/>
      <c r="M4" s="101"/>
      <c r="N4" s="101"/>
      <c r="O4" s="101"/>
      <c r="P4" s="101"/>
      <c r="Q4" s="93" t="s">
        <v>13</v>
      </c>
      <c r="R4" s="94"/>
      <c r="S4" s="95"/>
    </row>
    <row r="5" spans="2:19" ht="15.75" thickTop="1" x14ac:dyDescent="0.25">
      <c r="B5" s="58" t="s">
        <v>3</v>
      </c>
      <c r="C5" s="59"/>
      <c r="D5" s="59"/>
      <c r="E5" s="59"/>
      <c r="F5" s="59" t="s">
        <v>8</v>
      </c>
      <c r="G5" s="59"/>
      <c r="H5" s="60"/>
      <c r="K5" s="100" t="s">
        <v>11</v>
      </c>
      <c r="L5" s="101"/>
      <c r="M5" s="101"/>
      <c r="N5" s="101"/>
      <c r="O5" s="101"/>
      <c r="P5" s="101"/>
      <c r="Q5" s="93" t="s">
        <v>12</v>
      </c>
      <c r="R5" s="94"/>
      <c r="S5" s="95"/>
    </row>
    <row r="6" spans="2:19" x14ac:dyDescent="0.25">
      <c r="B6" s="87" t="s">
        <v>4</v>
      </c>
      <c r="C6" s="88"/>
      <c r="D6" s="88"/>
      <c r="E6" s="88"/>
      <c r="F6" s="81">
        <v>200</v>
      </c>
      <c r="G6" s="81"/>
      <c r="H6" s="82"/>
      <c r="K6" s="85" t="s">
        <v>44</v>
      </c>
      <c r="L6" s="86"/>
      <c r="M6" s="86"/>
      <c r="N6" s="86"/>
      <c r="O6" s="86"/>
      <c r="P6" s="86"/>
      <c r="Q6" s="71" t="s">
        <v>43</v>
      </c>
      <c r="R6" s="72"/>
      <c r="S6" s="73"/>
    </row>
    <row r="7" spans="2:19" ht="15.75" thickBot="1" x14ac:dyDescent="0.3">
      <c r="B7" s="87" t="s">
        <v>5</v>
      </c>
      <c r="C7" s="88"/>
      <c r="D7" s="88"/>
      <c r="E7" s="88"/>
      <c r="F7" s="81">
        <v>210</v>
      </c>
      <c r="G7" s="81"/>
      <c r="H7" s="82"/>
      <c r="K7" s="74" t="s">
        <v>46</v>
      </c>
      <c r="L7" s="75"/>
      <c r="M7" s="75"/>
      <c r="N7" s="75"/>
      <c r="O7" s="75"/>
      <c r="P7" s="75"/>
      <c r="Q7" s="76" t="s">
        <v>45</v>
      </c>
      <c r="R7" s="77"/>
      <c r="S7" s="78"/>
    </row>
    <row r="8" spans="2:19" ht="16.5" thickTop="1" thickBot="1" x14ac:dyDescent="0.3">
      <c r="B8" s="87" t="s">
        <v>0</v>
      </c>
      <c r="C8" s="88"/>
      <c r="D8" s="88"/>
      <c r="E8" s="88"/>
      <c r="F8" s="83">
        <f>F6/F7</f>
        <v>0.95238095238095233</v>
      </c>
      <c r="G8" s="83"/>
      <c r="H8" s="84"/>
      <c r="K8" s="123" t="s">
        <v>9</v>
      </c>
      <c r="L8" s="124"/>
      <c r="M8" s="124"/>
      <c r="N8" s="124"/>
      <c r="O8" s="124"/>
      <c r="P8" s="125"/>
    </row>
    <row r="9" spans="2:19" ht="15.75" thickTop="1" x14ac:dyDescent="0.25">
      <c r="B9" s="87" t="s">
        <v>6</v>
      </c>
      <c r="C9" s="88"/>
      <c r="D9" s="88"/>
      <c r="E9" s="88"/>
      <c r="F9" s="121">
        <v>101.4</v>
      </c>
      <c r="G9" s="121"/>
      <c r="H9" s="122"/>
    </row>
    <row r="10" spans="2:19" ht="15.75" thickBot="1" x14ac:dyDescent="0.3">
      <c r="B10" s="66" t="s">
        <v>7</v>
      </c>
      <c r="C10" s="67"/>
      <c r="D10" s="67"/>
      <c r="E10" s="67"/>
      <c r="F10" s="126">
        <f>F8*F9</f>
        <v>96.571428571428569</v>
      </c>
      <c r="G10" s="126"/>
      <c r="H10" s="127"/>
    </row>
    <row r="11" spans="2:19" ht="16.5" thickTop="1" thickBot="1" x14ac:dyDescent="0.3"/>
    <row r="12" spans="2:19" ht="15.75" thickTop="1" x14ac:dyDescent="0.25">
      <c r="B12" s="47" t="s">
        <v>30</v>
      </c>
      <c r="C12" s="48"/>
      <c r="D12" s="48"/>
      <c r="E12" s="48"/>
      <c r="F12" s="48"/>
      <c r="G12" s="48"/>
      <c r="H12" s="49"/>
      <c r="K12" s="39" t="s">
        <v>33</v>
      </c>
      <c r="L12" s="40"/>
      <c r="M12" s="40"/>
      <c r="N12" s="40"/>
      <c r="O12" s="40"/>
      <c r="P12" s="41"/>
    </row>
    <row r="13" spans="2:19" ht="15.75" thickBot="1" x14ac:dyDescent="0.3">
      <c r="B13" s="50"/>
      <c r="C13" s="51"/>
      <c r="D13" s="51"/>
      <c r="E13" s="51"/>
      <c r="F13" s="51"/>
      <c r="G13" s="51"/>
      <c r="H13" s="52"/>
      <c r="K13" s="42"/>
      <c r="L13" s="43"/>
      <c r="M13" s="43"/>
      <c r="N13" s="43"/>
      <c r="O13" s="43"/>
      <c r="P13" s="44"/>
    </row>
    <row r="14" spans="2:19" ht="15.75" thickTop="1" x14ac:dyDescent="0.25">
      <c r="B14" s="53" t="s">
        <v>2</v>
      </c>
      <c r="C14" s="54"/>
      <c r="D14" s="54"/>
      <c r="E14" s="54"/>
      <c r="F14" s="55" t="s">
        <v>42</v>
      </c>
      <c r="G14" s="56"/>
      <c r="H14" s="57"/>
      <c r="K14" s="1" t="s">
        <v>17</v>
      </c>
      <c r="L14" s="79" t="s">
        <v>18</v>
      </c>
      <c r="M14" s="79"/>
      <c r="N14" s="79"/>
      <c r="O14" s="79" t="s">
        <v>19</v>
      </c>
      <c r="P14" s="80"/>
    </row>
    <row r="15" spans="2:19" ht="15.75" thickBot="1" x14ac:dyDescent="0.3">
      <c r="B15" s="66" t="s">
        <v>39</v>
      </c>
      <c r="C15" s="67"/>
      <c r="D15" s="67"/>
      <c r="E15" s="67"/>
      <c r="F15" s="89" t="s">
        <v>40</v>
      </c>
      <c r="G15" s="90"/>
      <c r="H15" s="91"/>
      <c r="K15" s="2" t="s">
        <v>20</v>
      </c>
      <c r="L15" s="92" t="s">
        <v>1</v>
      </c>
      <c r="M15" s="92"/>
      <c r="N15" s="92"/>
      <c r="O15" s="64" t="s">
        <v>27</v>
      </c>
      <c r="P15" s="65"/>
    </row>
    <row r="16" spans="2:19" ht="15.75" thickTop="1" x14ac:dyDescent="0.25">
      <c r="B16" s="58" t="s">
        <v>3</v>
      </c>
      <c r="C16" s="59"/>
      <c r="D16" s="59"/>
      <c r="E16" s="59"/>
      <c r="F16" s="59" t="s">
        <v>8</v>
      </c>
      <c r="G16" s="59"/>
      <c r="H16" s="60"/>
      <c r="K16" s="2" t="s">
        <v>21</v>
      </c>
      <c r="L16" s="7" t="s">
        <v>28</v>
      </c>
      <c r="M16" s="8"/>
      <c r="N16" s="9"/>
      <c r="O16" s="64" t="s">
        <v>29</v>
      </c>
      <c r="P16" s="65"/>
    </row>
    <row r="17" spans="2:20" x14ac:dyDescent="0.25">
      <c r="B17" s="21" t="s">
        <v>34</v>
      </c>
      <c r="C17" s="22"/>
      <c r="D17" s="22"/>
      <c r="E17" s="23"/>
      <c r="F17" s="61">
        <v>0.82</v>
      </c>
      <c r="G17" s="62"/>
      <c r="H17" s="63"/>
      <c r="K17" s="2" t="s">
        <v>22</v>
      </c>
      <c r="L17" s="7" t="s">
        <v>30</v>
      </c>
      <c r="M17" s="8"/>
      <c r="N17" s="9"/>
      <c r="O17" s="64" t="s">
        <v>42</v>
      </c>
      <c r="P17" s="65"/>
    </row>
    <row r="18" spans="2:20" x14ac:dyDescent="0.25">
      <c r="B18" s="21" t="s">
        <v>35</v>
      </c>
      <c r="C18" s="22"/>
      <c r="D18" s="22"/>
      <c r="E18" s="23"/>
      <c r="F18" s="61">
        <v>0.84</v>
      </c>
      <c r="G18" s="62"/>
      <c r="H18" s="63"/>
      <c r="K18" s="2" t="s">
        <v>23</v>
      </c>
      <c r="L18" s="7" t="s">
        <v>31</v>
      </c>
      <c r="M18" s="8"/>
      <c r="N18" s="9"/>
      <c r="O18" s="64" t="s">
        <v>47</v>
      </c>
      <c r="P18" s="6"/>
    </row>
    <row r="19" spans="2:20" x14ac:dyDescent="0.25">
      <c r="B19" s="21" t="s">
        <v>0</v>
      </c>
      <c r="C19" s="22"/>
      <c r="D19" s="22"/>
      <c r="E19" s="23"/>
      <c r="F19" s="68">
        <f>F17/F18</f>
        <v>0.97619047619047616</v>
      </c>
      <c r="G19" s="69"/>
      <c r="H19" s="70"/>
      <c r="K19" s="2" t="s">
        <v>24</v>
      </c>
      <c r="L19" s="7" t="s">
        <v>32</v>
      </c>
      <c r="M19" s="8"/>
      <c r="N19" s="9"/>
      <c r="O19" s="64" t="s">
        <v>56</v>
      </c>
      <c r="P19" s="6"/>
    </row>
    <row r="20" spans="2:20" x14ac:dyDescent="0.25">
      <c r="B20" s="21" t="s">
        <v>41</v>
      </c>
      <c r="C20" s="22"/>
      <c r="D20" s="22"/>
      <c r="E20" s="23"/>
      <c r="F20" s="118">
        <v>100</v>
      </c>
      <c r="G20" s="119"/>
      <c r="H20" s="120"/>
      <c r="K20" s="2" t="s">
        <v>25</v>
      </c>
      <c r="L20" s="7" t="s">
        <v>37</v>
      </c>
      <c r="M20" s="8"/>
      <c r="N20" s="9"/>
      <c r="O20" s="64" t="s">
        <v>62</v>
      </c>
      <c r="P20" s="6"/>
    </row>
    <row r="21" spans="2:20" ht="15.75" thickBot="1" x14ac:dyDescent="0.3">
      <c r="B21" s="28" t="s">
        <v>36</v>
      </c>
      <c r="C21" s="29"/>
      <c r="D21" s="29"/>
      <c r="E21" s="30"/>
      <c r="F21" s="36">
        <f>F19*F20</f>
        <v>97.61904761904762</v>
      </c>
      <c r="G21" s="37"/>
      <c r="H21" s="38"/>
      <c r="K21" s="3" t="s">
        <v>26</v>
      </c>
      <c r="L21" s="31" t="s">
        <v>78</v>
      </c>
      <c r="M21" s="32"/>
      <c r="N21" s="33"/>
      <c r="O21" s="45" t="s">
        <v>38</v>
      </c>
      <c r="P21" s="46"/>
    </row>
    <row r="22" spans="2:20" ht="16.5" thickTop="1" thickBot="1" x14ac:dyDescent="0.3"/>
    <row r="23" spans="2:20" ht="16.5" thickTop="1" thickBot="1" x14ac:dyDescent="0.3">
      <c r="K23" s="39" t="s">
        <v>50</v>
      </c>
      <c r="L23" s="40"/>
      <c r="M23" s="40"/>
      <c r="N23" s="40"/>
      <c r="O23" s="40"/>
      <c r="P23" s="41"/>
    </row>
    <row r="24" spans="2:20" ht="16.5" customHeight="1" thickTop="1" thickBot="1" x14ac:dyDescent="0.3">
      <c r="B24" s="108" t="s">
        <v>63</v>
      </c>
      <c r="C24" s="109"/>
      <c r="D24" s="109"/>
      <c r="E24" s="109"/>
      <c r="F24" s="109"/>
      <c r="G24" s="109"/>
      <c r="H24" s="110"/>
      <c r="K24" s="42"/>
      <c r="L24" s="43"/>
      <c r="M24" s="43"/>
      <c r="N24" s="43"/>
      <c r="O24" s="43"/>
      <c r="P24" s="44"/>
    </row>
    <row r="25" spans="2:20" ht="16.5" customHeight="1" thickTop="1" thickBot="1" x14ac:dyDescent="0.3">
      <c r="B25" s="111"/>
      <c r="C25" s="112"/>
      <c r="D25" s="112"/>
      <c r="E25" s="112"/>
      <c r="F25" s="112"/>
      <c r="G25" s="112"/>
      <c r="H25" s="113"/>
      <c r="K25" s="1" t="s">
        <v>51</v>
      </c>
      <c r="L25" s="79" t="s">
        <v>52</v>
      </c>
      <c r="M25" s="79"/>
      <c r="N25" s="79"/>
      <c r="O25" s="79" t="s">
        <v>19</v>
      </c>
      <c r="P25" s="80"/>
      <c r="T25" s="4"/>
    </row>
    <row r="26" spans="2:20" ht="15.75" thickTop="1" x14ac:dyDescent="0.25">
      <c r="B26" s="116" t="s">
        <v>3</v>
      </c>
      <c r="C26" s="114"/>
      <c r="D26" s="114"/>
      <c r="E26" s="117"/>
      <c r="F26" s="114" t="s">
        <v>8</v>
      </c>
      <c r="G26" s="114"/>
      <c r="H26" s="115"/>
      <c r="K26" s="2" t="s">
        <v>20</v>
      </c>
      <c r="L26" s="92" t="s">
        <v>53</v>
      </c>
      <c r="M26" s="92"/>
      <c r="N26" s="92"/>
      <c r="O26" s="64" t="s">
        <v>49</v>
      </c>
      <c r="P26" s="65"/>
      <c r="T26" s="4"/>
    </row>
    <row r="27" spans="2:20" x14ac:dyDescent="0.25">
      <c r="B27" s="21" t="s">
        <v>57</v>
      </c>
      <c r="C27" s="22"/>
      <c r="D27" s="22"/>
      <c r="E27" s="23"/>
      <c r="F27" s="19">
        <v>0.4</v>
      </c>
      <c r="G27" s="19"/>
      <c r="H27" s="20"/>
      <c r="K27" s="2" t="s">
        <v>21</v>
      </c>
      <c r="L27" s="7" t="s">
        <v>54</v>
      </c>
      <c r="M27" s="8"/>
      <c r="N27" s="9"/>
      <c r="O27" s="64" t="s">
        <v>48</v>
      </c>
      <c r="P27" s="65"/>
    </row>
    <row r="28" spans="2:20" x14ac:dyDescent="0.25">
      <c r="B28" s="21" t="s">
        <v>58</v>
      </c>
      <c r="C28" s="22"/>
      <c r="D28" s="22"/>
      <c r="E28" s="23"/>
      <c r="F28" s="19">
        <v>0.8</v>
      </c>
      <c r="G28" s="19"/>
      <c r="H28" s="20"/>
      <c r="K28" s="2" t="s">
        <v>22</v>
      </c>
      <c r="L28" s="7" t="s">
        <v>65</v>
      </c>
      <c r="M28" s="8"/>
      <c r="N28" s="9"/>
      <c r="O28" s="64" t="s">
        <v>64</v>
      </c>
      <c r="P28" s="65"/>
    </row>
    <row r="29" spans="2:20" x14ac:dyDescent="0.25">
      <c r="B29" s="21" t="s">
        <v>59</v>
      </c>
      <c r="C29" s="22"/>
      <c r="D29" s="22"/>
      <c r="E29" s="23"/>
      <c r="F29" s="19">
        <v>0.2</v>
      </c>
      <c r="G29" s="19"/>
      <c r="H29" s="20"/>
      <c r="K29" s="2" t="s">
        <v>23</v>
      </c>
      <c r="L29" s="7" t="s">
        <v>55</v>
      </c>
      <c r="M29" s="8"/>
      <c r="N29" s="9"/>
      <c r="O29" s="64" t="s">
        <v>69</v>
      </c>
      <c r="P29" s="65"/>
    </row>
    <row r="30" spans="2:20" x14ac:dyDescent="0.25">
      <c r="B30" s="21" t="s">
        <v>60</v>
      </c>
      <c r="C30" s="22"/>
      <c r="D30" s="22"/>
      <c r="E30" s="23"/>
      <c r="F30" s="26">
        <f>F29+F27</f>
        <v>0.60000000000000009</v>
      </c>
      <c r="G30" s="26"/>
      <c r="H30" s="27"/>
      <c r="K30" s="2" t="s">
        <v>24</v>
      </c>
      <c r="L30" s="7" t="s">
        <v>66</v>
      </c>
      <c r="M30" s="8"/>
      <c r="N30" s="9"/>
      <c r="O30" s="5" t="s">
        <v>38</v>
      </c>
      <c r="P30" s="6"/>
    </row>
    <row r="31" spans="2:20" ht="15.75" thickBot="1" x14ac:dyDescent="0.3">
      <c r="B31" s="28" t="s">
        <v>61</v>
      </c>
      <c r="C31" s="29"/>
      <c r="D31" s="29"/>
      <c r="E31" s="30"/>
      <c r="F31" s="24">
        <f>F29+F28</f>
        <v>1</v>
      </c>
      <c r="G31" s="24"/>
      <c r="H31" s="25"/>
      <c r="K31" s="2" t="s">
        <v>25</v>
      </c>
      <c r="L31" s="7" t="s">
        <v>67</v>
      </c>
      <c r="M31" s="8"/>
      <c r="N31" s="9"/>
      <c r="O31" s="5" t="s">
        <v>38</v>
      </c>
      <c r="P31" s="6"/>
    </row>
    <row r="32" spans="2:20" ht="15.75" thickTop="1" x14ac:dyDescent="0.25">
      <c r="B32" s="10"/>
      <c r="C32" s="11"/>
      <c r="D32" s="11"/>
      <c r="E32" s="12"/>
      <c r="K32" s="2" t="s">
        <v>26</v>
      </c>
      <c r="L32" s="7" t="s">
        <v>68</v>
      </c>
      <c r="M32" s="8"/>
      <c r="N32" s="9"/>
      <c r="O32" s="5" t="s">
        <v>38</v>
      </c>
      <c r="P32" s="6"/>
    </row>
    <row r="33" spans="2:16" x14ac:dyDescent="0.25">
      <c r="B33" s="13"/>
      <c r="C33" s="14"/>
      <c r="D33" s="14"/>
      <c r="E33" s="15"/>
      <c r="K33" s="2" t="s">
        <v>70</v>
      </c>
      <c r="L33" s="7"/>
      <c r="M33" s="8"/>
      <c r="N33" s="9"/>
      <c r="O33" s="5" t="s">
        <v>38</v>
      </c>
      <c r="P33" s="6"/>
    </row>
    <row r="34" spans="2:16" x14ac:dyDescent="0.25">
      <c r="B34" s="13"/>
      <c r="C34" s="14"/>
      <c r="D34" s="14"/>
      <c r="E34" s="15"/>
      <c r="K34" s="2" t="s">
        <v>71</v>
      </c>
      <c r="L34" s="7"/>
      <c r="M34" s="8"/>
      <c r="N34" s="9"/>
      <c r="O34" s="5" t="s">
        <v>38</v>
      </c>
      <c r="P34" s="6"/>
    </row>
    <row r="35" spans="2:16" x14ac:dyDescent="0.25">
      <c r="B35" s="13"/>
      <c r="C35" s="14"/>
      <c r="D35" s="14"/>
      <c r="E35" s="15"/>
      <c r="K35" s="2" t="s">
        <v>72</v>
      </c>
      <c r="L35" s="7"/>
      <c r="M35" s="8"/>
      <c r="N35" s="9"/>
      <c r="O35" s="5" t="s">
        <v>38</v>
      </c>
      <c r="P35" s="6"/>
    </row>
    <row r="36" spans="2:16" x14ac:dyDescent="0.25">
      <c r="B36" s="13"/>
      <c r="C36" s="14"/>
      <c r="D36" s="14"/>
      <c r="E36" s="15"/>
      <c r="K36" s="2" t="s">
        <v>73</v>
      </c>
      <c r="L36" s="7"/>
      <c r="M36" s="8"/>
      <c r="N36" s="9"/>
      <c r="O36" s="5" t="s">
        <v>38</v>
      </c>
      <c r="P36" s="6"/>
    </row>
    <row r="37" spans="2:16" x14ac:dyDescent="0.25">
      <c r="B37" s="13"/>
      <c r="C37" s="14"/>
      <c r="D37" s="14"/>
      <c r="E37" s="15"/>
      <c r="K37" s="2" t="s">
        <v>74</v>
      </c>
      <c r="L37" s="7"/>
      <c r="M37" s="8"/>
      <c r="N37" s="9"/>
      <c r="O37" s="5" t="s">
        <v>38</v>
      </c>
      <c r="P37" s="6"/>
    </row>
    <row r="38" spans="2:16" x14ac:dyDescent="0.25">
      <c r="B38" s="13"/>
      <c r="C38" s="14"/>
      <c r="D38" s="14"/>
      <c r="E38" s="15"/>
      <c r="K38" s="2" t="s">
        <v>75</v>
      </c>
      <c r="L38" s="7"/>
      <c r="M38" s="8"/>
      <c r="N38" s="9"/>
      <c r="O38" s="5" t="s">
        <v>38</v>
      </c>
      <c r="P38" s="6"/>
    </row>
    <row r="39" spans="2:16" ht="15.75" thickBot="1" x14ac:dyDescent="0.3">
      <c r="B39" s="13"/>
      <c r="C39" s="14"/>
      <c r="D39" s="14"/>
      <c r="E39" s="15"/>
      <c r="K39" s="3" t="s">
        <v>76</v>
      </c>
      <c r="L39" s="31"/>
      <c r="M39" s="32"/>
      <c r="N39" s="33"/>
      <c r="O39" s="34" t="s">
        <v>38</v>
      </c>
      <c r="P39" s="35"/>
    </row>
    <row r="40" spans="2:16" ht="15.75" thickTop="1" x14ac:dyDescent="0.25">
      <c r="B40" s="13"/>
      <c r="C40" s="14"/>
      <c r="D40" s="14"/>
      <c r="E40" s="15"/>
    </row>
    <row r="41" spans="2:16" x14ac:dyDescent="0.25">
      <c r="B41" s="13"/>
      <c r="C41" s="14"/>
      <c r="D41" s="14"/>
      <c r="E41" s="15"/>
    </row>
    <row r="42" spans="2:16" x14ac:dyDescent="0.25">
      <c r="B42" s="13"/>
      <c r="C42" s="14"/>
      <c r="D42" s="14"/>
      <c r="E42" s="15"/>
    </row>
    <row r="43" spans="2:16" ht="15.75" thickBot="1" x14ac:dyDescent="0.3">
      <c r="B43" s="16"/>
      <c r="C43" s="17"/>
      <c r="D43" s="17"/>
      <c r="E43" s="18"/>
    </row>
    <row r="44" spans="2:16" ht="15.75" thickTop="1" x14ac:dyDescent="0.25"/>
  </sheetData>
  <sheetProtection algorithmName="SHA-512" hashValue="pRqByBX2j+3IMkW6kWw6uP2PDd/UnwV0BYnR1bX5kp3/tnu00n6iWfj09IVxOz/UTCgdDPckfqM0DOQ9R1kOUg==" saltValue="VjPFQtqswA5iYjRKfBCQGg==" spinCount="100000" sheet="1" objects="1" scenarios="1"/>
  <mergeCells count="107">
    <mergeCell ref="B6:E6"/>
    <mergeCell ref="B24:H25"/>
    <mergeCell ref="F26:H26"/>
    <mergeCell ref="B26:E26"/>
    <mergeCell ref="O29:P29"/>
    <mergeCell ref="L29:N29"/>
    <mergeCell ref="K23:P24"/>
    <mergeCell ref="L25:N25"/>
    <mergeCell ref="O25:P25"/>
    <mergeCell ref="L26:N26"/>
    <mergeCell ref="O26:P26"/>
    <mergeCell ref="L27:N27"/>
    <mergeCell ref="O27:P27"/>
    <mergeCell ref="L28:N28"/>
    <mergeCell ref="O28:P28"/>
    <mergeCell ref="F27:H27"/>
    <mergeCell ref="B27:E27"/>
    <mergeCell ref="B20:E20"/>
    <mergeCell ref="F20:H20"/>
    <mergeCell ref="F9:H9"/>
    <mergeCell ref="K8:P8"/>
    <mergeCell ref="F10:H10"/>
    <mergeCell ref="Q4:S4"/>
    <mergeCell ref="Q2:S2"/>
    <mergeCell ref="K2:P2"/>
    <mergeCell ref="K5:P5"/>
    <mergeCell ref="Q5:S5"/>
    <mergeCell ref="Q3:S3"/>
    <mergeCell ref="F4:H4"/>
    <mergeCell ref="F5:H5"/>
    <mergeCell ref="B2:H3"/>
    <mergeCell ref="B4:E4"/>
    <mergeCell ref="K3:P3"/>
    <mergeCell ref="B5:E5"/>
    <mergeCell ref="K4:P4"/>
    <mergeCell ref="L17:N17"/>
    <mergeCell ref="O17:P17"/>
    <mergeCell ref="L18:N18"/>
    <mergeCell ref="O18:P18"/>
    <mergeCell ref="B19:E19"/>
    <mergeCell ref="F19:H19"/>
    <mergeCell ref="L19:N19"/>
    <mergeCell ref="O19:P19"/>
    <mergeCell ref="Q6:S6"/>
    <mergeCell ref="K7:P7"/>
    <mergeCell ref="Q7:S7"/>
    <mergeCell ref="L14:N14"/>
    <mergeCell ref="O14:P14"/>
    <mergeCell ref="F6:H6"/>
    <mergeCell ref="F7:H7"/>
    <mergeCell ref="F8:H8"/>
    <mergeCell ref="K6:P6"/>
    <mergeCell ref="B10:E10"/>
    <mergeCell ref="B9:E9"/>
    <mergeCell ref="F15:H15"/>
    <mergeCell ref="L15:N15"/>
    <mergeCell ref="O15:P15"/>
    <mergeCell ref="B8:E8"/>
    <mergeCell ref="B7:E7"/>
    <mergeCell ref="O36:P36"/>
    <mergeCell ref="L37:N37"/>
    <mergeCell ref="O37:P37"/>
    <mergeCell ref="L38:N38"/>
    <mergeCell ref="O38:P38"/>
    <mergeCell ref="B21:E21"/>
    <mergeCell ref="F21:H21"/>
    <mergeCell ref="K12:P13"/>
    <mergeCell ref="L21:N21"/>
    <mergeCell ref="O21:P21"/>
    <mergeCell ref="B12:H13"/>
    <mergeCell ref="B14:E14"/>
    <mergeCell ref="F14:H14"/>
    <mergeCell ref="B16:E16"/>
    <mergeCell ref="F16:H16"/>
    <mergeCell ref="B17:E17"/>
    <mergeCell ref="F17:H17"/>
    <mergeCell ref="B18:E18"/>
    <mergeCell ref="F18:H18"/>
    <mergeCell ref="O16:P16"/>
    <mergeCell ref="L16:N16"/>
    <mergeCell ref="L20:N20"/>
    <mergeCell ref="O20:P20"/>
    <mergeCell ref="B15:E15"/>
    <mergeCell ref="O33:P33"/>
    <mergeCell ref="L34:N34"/>
    <mergeCell ref="O34:P34"/>
    <mergeCell ref="L35:N35"/>
    <mergeCell ref="O35:P35"/>
    <mergeCell ref="B32:E43"/>
    <mergeCell ref="F29:H29"/>
    <mergeCell ref="F28:H28"/>
    <mergeCell ref="L30:N30"/>
    <mergeCell ref="O30:P30"/>
    <mergeCell ref="L31:N31"/>
    <mergeCell ref="O31:P31"/>
    <mergeCell ref="L32:N32"/>
    <mergeCell ref="O32:P32"/>
    <mergeCell ref="B29:E29"/>
    <mergeCell ref="B28:E28"/>
    <mergeCell ref="F31:H31"/>
    <mergeCell ref="F30:H30"/>
    <mergeCell ref="B31:E31"/>
    <mergeCell ref="B30:E30"/>
    <mergeCell ref="L33:N33"/>
    <mergeCell ref="L39:N39"/>
    <mergeCell ref="O39:P39"/>
    <mergeCell ref="L36:N36"/>
  </mergeCells>
  <phoneticPr fontId="12" type="noConversion"/>
  <hyperlinks>
    <hyperlink ref="Q2" r:id="rId1"/>
    <hyperlink ref="Q4" r:id="rId2"/>
    <hyperlink ref="Q3" r:id="rId3"/>
    <hyperlink ref="Q5" r:id="rId4"/>
    <hyperlink ref="F4" r:id="rId5"/>
    <hyperlink ref="O15" r:id="rId6"/>
    <hyperlink ref="O16" r:id="rId7"/>
    <hyperlink ref="F15" r:id="rId8"/>
    <hyperlink ref="F14" r:id="rId9"/>
    <hyperlink ref="O17" r:id="rId10"/>
    <hyperlink ref="Q6" r:id="rId11"/>
    <hyperlink ref="Q7" r:id="rId12"/>
    <hyperlink ref="O18" r:id="rId13"/>
    <hyperlink ref="O26" r:id="rId14"/>
    <hyperlink ref="O27" r:id="rId15"/>
    <hyperlink ref="O19" r:id="rId16"/>
    <hyperlink ref="O20" r:id="rId17"/>
    <hyperlink ref="O28" r:id="rId18"/>
    <hyperlink ref="O29" r:id="rId19"/>
  </hyperlinks>
  <pageMargins left="0.7" right="0.7" top="0.75" bottom="0.75" header="0.3" footer="0.3"/>
  <pageSetup paperSize="9" orientation="portrait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Kalibracja Drukarki 3D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Petrzak</dc:creator>
  <cp:lastModifiedBy>Kowalski Ryszard</cp:lastModifiedBy>
  <dcterms:created xsi:type="dcterms:W3CDTF">2017-04-14T14:07:10Z</dcterms:created>
  <dcterms:modified xsi:type="dcterms:W3CDTF">2020-01-24T14:09:08Z</dcterms:modified>
</cp:coreProperties>
</file>